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lidusrm.sharepoint.com/Home/Private/HR Recruitment  HS/HR, Recruitment &amp; H+S - Private/Recruitment/Case Studies/Quant 2021/"/>
    </mc:Choice>
  </mc:AlternateContent>
  <xr:revisionPtr revIDLastSave="0" documentId="8_{0BDCAE59-9708-46A9-A258-1896E4BA3078}" xr6:coauthVersionLast="47" xr6:coauthVersionMax="47" xr10:uidLastSave="{00000000-0000-0000-0000-000000000000}"/>
  <bookViews>
    <workbookView xWindow="-120" yWindow="-120" windowWidth="29040" windowHeight="15840" xr2:uid="{520045B0-BA6B-4042-9173-562BA410C2BF}"/>
  </bookViews>
  <sheets>
    <sheet name="Cashflows" sheetId="1" r:id="rId1"/>
  </sheets>
  <definedNames>
    <definedName name="solver_adj" localSheetId="0" hidden="1">Cashflows!#REF!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Cashflows!#REF!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" l="1"/>
  <c r="A3" i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<sst xmlns="http://schemas.openxmlformats.org/spreadsheetml/2006/main" count="31" uniqueCount="12">
  <si>
    <t>Date</t>
  </si>
  <si>
    <t>Cashflow Type</t>
  </si>
  <si>
    <t>Equity</t>
  </si>
  <si>
    <t>USD</t>
  </si>
  <si>
    <t>GBP</t>
  </si>
  <si>
    <t>Fund</t>
  </si>
  <si>
    <t>Proceeds</t>
  </si>
  <si>
    <t>Fund Currency</t>
  </si>
  <si>
    <t>Base Case IRR</t>
  </si>
  <si>
    <t>Cashflow Amount (in Local Asset Currecny)</t>
  </si>
  <si>
    <t>Validus V</t>
  </si>
  <si>
    <t>Local Asset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</si>
</sst>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3" fontId="1" fillId="3" borderId="0" xfId="0" applyNumberFormat="1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43" fontId="0" fillId="2" borderId="3" xfId="0" applyNumberFormat="1" applyFill="1" applyBorder="1" applyAlignment="1">
      <alignment horizontal="center"/>
    </xf>
    <xf numFmtId="43" fontId="0" fillId="2" borderId="0" xfId="0" applyNumberFormat="1" applyFill="1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29AB1-30B7-43FC-9BD5-467F64CC2E91}">
  <dimension ref="A1:G7"/>
  <sheetViews>
    <sheetView tabSelected="1" workbookViewId="0">
      <selection activeCell="D12" sqref="D12"/>
    </sheetView>
  </sheetViews>
  <sheetFormatPr defaultColWidth="9.1796875" defaultRowHeight="14.5" x14ac:dyDescent="0.35"/>
  <cols>
    <col min="1" max="3" width="24.26953125" style="1" customWidth="1"/>
    <col min="4" max="4" width="41.1796875" style="11" bestFit="1" customWidth="1"/>
    <col min="5" max="5" width="28.54296875" style="11" bestFit="1" customWidth="1"/>
    <col min="6" max="6" width="24.26953125" style="4" customWidth="1"/>
    <col min="7" max="8" width="15.26953125" style="2" bestFit="1" customWidth="1"/>
    <col min="9" max="16384" width="9.1796875" style="2"/>
  </cols>
  <sheetData>
    <row r="1" spans="1:7" x14ac:dyDescent="0.35">
      <c r="A1" s="5" t="s">
        <v>0</v>
      </c>
      <c r="B1" s="5" t="s">
        <v>5</v>
      </c>
      <c r="C1" s="5" t="s">
        <v>1</v>
      </c>
      <c r="D1" s="10" t="s">
        <v>9</v>
      </c>
      <c r="E1" s="10" t="s">
        <v>11</v>
      </c>
      <c r="F1" s="6" t="s">
        <v>7</v>
      </c>
      <c r="G1" s="6" t="s">
        <v>8</v>
      </c>
    </row>
    <row r="2" spans="1:7" x14ac:dyDescent="0.35">
      <c r="A2" s="3">
        <v>44439</v>
      </c>
      <c r="B2" s="3" t="s">
        <v>10</v>
      </c>
      <c r="C2" s="1" t="s">
        <v>2</v>
      </c>
      <c r="D2" s="11">
        <v>-100000000</v>
      </c>
      <c r="E2" s="11" t="s">
        <v>4</v>
      </c>
      <c r="F2" s="4" t="s">
        <v>3</v>
      </c>
      <c r="G2" s="14">
        <f>XIRR(D2:D7,A2:A7)</f>
        <v>0.14991367459297186</v>
      </c>
    </row>
    <row r="3" spans="1:7" x14ac:dyDescent="0.35">
      <c r="A3" s="3">
        <f>EDATE(A2,12)</f>
        <v>44804</v>
      </c>
      <c r="B3" s="3" t="s">
        <v>10</v>
      </c>
      <c r="C3" s="1" t="s">
        <v>6</v>
      </c>
      <c r="D3" s="11">
        <v>15000000</v>
      </c>
      <c r="E3" s="11" t="s">
        <v>4</v>
      </c>
      <c r="F3" s="4" t="s">
        <v>3</v>
      </c>
      <c r="G3" s="13"/>
    </row>
    <row r="4" spans="1:7" x14ac:dyDescent="0.35">
      <c r="A4" s="3">
        <f>EDATE(A3,12)</f>
        <v>45169</v>
      </c>
      <c r="B4" s="3" t="s">
        <v>10</v>
      </c>
      <c r="C4" s="1" t="s">
        <v>6</v>
      </c>
      <c r="D4" s="11">
        <v>15000000</v>
      </c>
      <c r="E4" s="11" t="s">
        <v>4</v>
      </c>
      <c r="F4" s="4" t="s">
        <v>3</v>
      </c>
      <c r="G4" s="13"/>
    </row>
    <row r="5" spans="1:7" x14ac:dyDescent="0.35">
      <c r="A5" s="3">
        <f>EDATE(A4,12)</f>
        <v>45535</v>
      </c>
      <c r="B5" s="3" t="s">
        <v>10</v>
      </c>
      <c r="C5" s="1" t="s">
        <v>6</v>
      </c>
      <c r="D5" s="11">
        <v>15000000</v>
      </c>
      <c r="E5" s="11" t="s">
        <v>4</v>
      </c>
      <c r="F5" s="4" t="s">
        <v>3</v>
      </c>
    </row>
    <row r="6" spans="1:7" x14ac:dyDescent="0.35">
      <c r="A6" s="3">
        <f>EDATE(A5,12)</f>
        <v>45900</v>
      </c>
      <c r="B6" s="3" t="s">
        <v>10</v>
      </c>
      <c r="C6" s="1" t="s">
        <v>6</v>
      </c>
      <c r="D6" s="11">
        <v>15000000</v>
      </c>
      <c r="E6" s="11" t="s">
        <v>4</v>
      </c>
      <c r="F6" s="4" t="s">
        <v>3</v>
      </c>
    </row>
    <row r="7" spans="1:7" x14ac:dyDescent="0.35">
      <c r="A7" s="7">
        <f>EDATE(A6,12)</f>
        <v>46265</v>
      </c>
      <c r="B7" s="8" t="s">
        <v>10</v>
      </c>
      <c r="C7" s="8" t="s">
        <v>6</v>
      </c>
      <c r="D7" s="12">
        <v>115000000</v>
      </c>
      <c r="E7" s="12" t="s">
        <v>4</v>
      </c>
      <c r="F7" s="9" t="s">
        <v>3</v>
      </c>
    </row>
  </sheetData>
  <pageMargins left="0.7" right="0.7" top="0.75" bottom="0.75" header="0.3" footer="0.3"/>
  <pageSetup orientation="portrait" horizontalDpi="300" verticalDpi="300" r:id="rId1"/>
  <headerFooter>
    <oddHeader>&amp;R&amp;"Calibri"&amp;12&amp;K000000Confidential - External&amp;1#_x000D_&amp;"Calibri"&amp;11&amp;K000000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DC67B17816419917C5C676301C06" ma:contentTypeVersion="12" ma:contentTypeDescription="Create a new document." ma:contentTypeScope="" ma:versionID="254179f1c33f2a68dfd2b3891900075a">
  <xsd:schema xmlns:xsd="http://www.w3.org/2001/XMLSchema" xmlns:xs="http://www.w3.org/2001/XMLSchema" xmlns:p="http://schemas.microsoft.com/office/2006/metadata/properties" xmlns:ns2="6a020d02-cf7e-44d3-ab70-f6c2758c64d6" xmlns:ns3="3a7fefd8-6bd0-41d2-81f3-567b8b085172" targetNamespace="http://schemas.microsoft.com/office/2006/metadata/properties" ma:root="true" ma:fieldsID="c380dba2336d2b1c800183218c3fbf2d" ns2:_="" ns3:_="">
    <xsd:import namespace="6a020d02-cf7e-44d3-ab70-f6c2758c64d6"/>
    <xsd:import namespace="3a7fefd8-6bd0-41d2-81f3-567b8b0851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020d02-cf7e-44d3-ab70-f6c2758c64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fefd8-6bd0-41d2-81f3-567b8b0851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6F1A6B-121E-402F-B7D0-B7F5384D10A4}"/>
</file>

<file path=customXml/itemProps2.xml><?xml version="1.0" encoding="utf-8"?>
<ds:datastoreItem xmlns:ds="http://schemas.openxmlformats.org/officeDocument/2006/customXml" ds:itemID="{BD20FF72-79D2-44B9-8F29-35C8D19EBD68}"/>
</file>

<file path=customXml/itemProps3.xml><?xml version="1.0" encoding="utf-8"?>
<ds:datastoreItem xmlns:ds="http://schemas.openxmlformats.org/officeDocument/2006/customXml" ds:itemID="{17E4BA89-EA34-489E-9E80-317B6F671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Pereira</dc:creator>
  <cp:lastModifiedBy>Kate Norrie</cp:lastModifiedBy>
  <dcterms:created xsi:type="dcterms:W3CDTF">2018-09-10T10:59:16Z</dcterms:created>
  <dcterms:modified xsi:type="dcterms:W3CDTF">2021-09-15T13:53:05Z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1d9baf-5308-4add-8360-f6de114a5a45_Enabled">
    <vt:lpwstr>true</vt:lpwstr>
  </property>
  <property fmtid="{D5CDD505-2E9C-101B-9397-08002B2CF9AE}" pid="3" name="MSIP_Label_0d1d9baf-5308-4add-8360-f6de114a5a45_SetDate">
    <vt:lpwstr>2021-09-15T13:52:47Z</vt:lpwstr>
  </property>
  <property fmtid="{D5CDD505-2E9C-101B-9397-08002B2CF9AE}" pid="4" name="MSIP_Label_0d1d9baf-5308-4add-8360-f6de114a5a45_Method">
    <vt:lpwstr>Privileged</vt:lpwstr>
  </property>
  <property fmtid="{D5CDD505-2E9C-101B-9397-08002B2CF9AE}" pid="5" name="MSIP_Label_0d1d9baf-5308-4add-8360-f6de114a5a45_Name">
    <vt:lpwstr>Confidential - External</vt:lpwstr>
  </property>
  <property fmtid="{D5CDD505-2E9C-101B-9397-08002B2CF9AE}" pid="6" name="MSIP_Label_0d1d9baf-5308-4add-8360-f6de114a5a45_SiteId">
    <vt:lpwstr>53075da4-a49f-47a8-bf46-1d778287d30d</vt:lpwstr>
  </property>
  <property fmtid="{D5CDD505-2E9C-101B-9397-08002B2CF9AE}" pid="7" name="MSIP_Label_0d1d9baf-5308-4add-8360-f6de114a5a45_ActionId">
    <vt:lpwstr>6c735686-0f34-428d-abf5-bc4ecbf46d8b</vt:lpwstr>
  </property>
  <property fmtid="{D5CDD505-2E9C-101B-9397-08002B2CF9AE}" pid="8" name="MSIP_Label_0d1d9baf-5308-4add-8360-f6de114a5a45_ContentBits">
    <vt:lpwstr>1</vt:lpwstr>
  </property>
  <property fmtid="{D5CDD505-2E9C-101B-9397-08002B2CF9AE}" pid="9" name="ContentTypeId">
    <vt:lpwstr>0x0101006256DC67B17816419917C5C676301C06</vt:lpwstr>
  </property>
</Properties>
</file>